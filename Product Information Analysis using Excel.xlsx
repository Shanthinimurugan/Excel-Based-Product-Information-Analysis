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 Analytics\excel\Assignments\Entri Assignment\"/>
    </mc:Choice>
  </mc:AlternateContent>
  <xr:revisionPtr revIDLastSave="0" documentId="13_ncr:1_{4B223991-E9FD-42DA-99D5-24E5027E99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 a="1"/>
  <c r="J2" i="1" s="1"/>
  <c r="I2" i="1" a="1"/>
  <c r="I2" i="1" s="1"/>
  <c r="H2" i="1" a="1"/>
  <c r="H2" i="1" s="1"/>
  <c r="S14" i="1"/>
  <c r="S1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P8" i="1"/>
  <c r="P4" i="1"/>
  <c r="M12" i="1"/>
  <c r="M8" i="1"/>
  <c r="M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<sst xmlns="http://schemas.openxmlformats.org/spreadsheetml/2006/main" count="189" uniqueCount="140">
  <si>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</si>
  <si>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</si>
  <si>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</si>
  <si>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</si>
  <si>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</si>
  <si>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</si>
  <si>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</si>
  <si>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</si>
  <si>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</si>
  <si>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</si>
  <si>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</si>
  <si>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</si>
  <si>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</si>
  <si>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</si>
  <si>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</si>
  <si>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</si>
  <si>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</si>
  <si>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</si>
  <si>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</si>
  <si>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</si>
  <si>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</si>
  <si>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</si>
  <si>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</si>
  <si>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</si>
  <si>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</si>
  <si>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</si>
  <si>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</si>
  <si>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</si>
  <si>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</si>
  <si>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</si>
  <si>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</si>
  <si>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</si>
  <si>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</si>
  <si>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</si>
  <si>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</si>
  <si>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</si>
  <si>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</si>
  <si>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</si>
  <si>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</si>
  <si>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</si>
  <si>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</si>
  <si>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</si>
  <si>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</si>
  <si>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</si>
  <si>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</si>
  <si>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</si>
  <si>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</si>
  <si>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</si>
  <si>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</si>
  <si>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</si>
  <si>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</si>
  <si>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</si>
  <si>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</si>
  <si>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</si>
  <si>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</si>
  <si>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</si>
  <si>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</si>
  <si>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</si>
  <si>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</si>
  <si>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</si>
  <si>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</si>
  <si>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</si>
  <si>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</si>
  <si>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</si>
  <si>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</si>
  <si>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</si>
  <si>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</si>
  <si>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</si>
  <si>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</si>
  <si>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</si>
  <si>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</si>
  <si>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</si>
  <si>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</si>
  <si>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</si>
  <si>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</si>
  <si>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</si>
  <si>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</si>
  <si>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</si>
  <si>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</si>
  <si>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</si>
  <si>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</si>
  <si>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</si>
  <si>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</si>
  <si>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</si>
  <si>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</si>
  <si>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</si>
  <si>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</si>
  <si>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</si>
  <si>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</si>
  <si>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</si>
  <si>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</si>
  <si>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</si>
  <si>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</si>
  <si>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</si>
  <si>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</si>
  <si>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</si>
  <si>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</si>
  <si>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</si>
  <si>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Price Range</t>
  </si>
  <si>
    <t>SUMIF</t>
  </si>
  <si>
    <t>COUNTIF</t>
  </si>
  <si>
    <t>Day</t>
  </si>
  <si>
    <t>Country Code</t>
  </si>
  <si>
    <t>Month</t>
  </si>
  <si>
    <t>LEFT</t>
  </si>
  <si>
    <t>RIGHT</t>
  </si>
  <si>
    <t>MID</t>
  </si>
  <si>
    <t>Question 1</t>
  </si>
  <si>
    <t xml:space="preserve">Sum, Count, and Average </t>
  </si>
  <si>
    <t xml:space="preserve">A.  Total price of all products </t>
  </si>
  <si>
    <t>Formula: SUM(D2:D35)</t>
  </si>
  <si>
    <t>B. How many products exist in the dataset</t>
  </si>
  <si>
    <t>Formula: COUNTA(B2:B35)</t>
  </si>
  <si>
    <t>C.  Average price of the products</t>
  </si>
  <si>
    <t>Formula: AVERAGE(D2:D35)</t>
  </si>
  <si>
    <t>Question 2</t>
  </si>
  <si>
    <t xml:space="preserve">Minimum and Maximum Values </t>
  </si>
  <si>
    <t>A. Minimum price among all products</t>
  </si>
  <si>
    <t>Formula: MIN(D2:D35)</t>
  </si>
  <si>
    <t xml:space="preserve">B. Maximum price among all products </t>
  </si>
  <si>
    <t>Formula: MAX(D2:D35)</t>
  </si>
  <si>
    <t>Question 3</t>
  </si>
  <si>
    <t>Price Range:</t>
  </si>
  <si>
    <t>Forumula: IF(D2&gt;=500,"High Price","Standard Price")</t>
  </si>
  <si>
    <t>A. IF function to categorize products based on their price</t>
  </si>
  <si>
    <t>Question 4</t>
  </si>
  <si>
    <t xml:space="preserve">SUMIF and COUNTIF </t>
  </si>
  <si>
    <t>Formula: SUMIF(F2:F35,"Electronics",D2:D35)</t>
  </si>
  <si>
    <t>B. Number of products with a price less than $100</t>
  </si>
  <si>
    <t>Formula: COUNTIF(D2:D35,"&lt;100")</t>
  </si>
  <si>
    <t>Question 5</t>
  </si>
  <si>
    <t xml:space="preserve">LEFT, RIGHT, MID </t>
  </si>
  <si>
    <t xml:space="preserve"> IF </t>
  </si>
  <si>
    <t>Formula: LEFT(A2:A35,2)</t>
  </si>
  <si>
    <t>A. Day</t>
  </si>
  <si>
    <t>B. Country Code</t>
  </si>
  <si>
    <t>Formula: RIGHT(A2:A35,2)</t>
  </si>
  <si>
    <t>C. Month</t>
  </si>
  <si>
    <t>Formula: MID(A2:A35,4,3)</t>
  </si>
  <si>
    <t>A. Total price of products in the Electronics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</si>
</sst>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5"/>
      <name val="Arial"/>
      <family val="2"/>
      <scheme val="minor"/>
    </font>
    <font>
      <b/>
      <sz val="12"/>
      <color rgb="FF0070C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4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0" xfId="0" applyFont="1"/>
    <xf numFmtId="44" fontId="6" fillId="0" borderId="0" xfId="0" applyNumberFormat="1" applyFont="1"/>
    <xf numFmtId="0" fontId="4" fillId="4" borderId="0" xfId="0" applyFont="1" applyFill="1"/>
    <xf numFmtId="44" fontId="4" fillId="4" borderId="0" xfId="1" applyFont="1" applyFill="1"/>
    <xf numFmtId="0" fontId="3" fillId="5" borderId="0" xfId="0" applyFont="1" applyFill="1"/>
    <xf numFmtId="0" fontId="0" fillId="5" borderId="0" xfId="0" applyFill="1"/>
    <xf numFmtId="0" fontId="4" fillId="5" borderId="0" xfId="0" applyFont="1" applyFill="1"/>
    <xf numFmtId="0" fontId="7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J1" workbookViewId="0">
      <selection activeCell="O6" sqref="O6"/>
    </sheetView>
  </sheetViews>
  <sheetFormatPr defaultColWidth="12.5703125" defaultRowHeight="15" customHeight="1" x14ac:dyDescent="0.2"/>
  <cols>
    <col min="2" max="2" width="14.140625" customWidth="1"/>
    <col min="4" max="4" width="9" customWidth="1"/>
    <col min="5" max="5" width="8.5703125" bestFit="1" customWidth="1"/>
    <col min="7" max="7" width="15.42578125" customWidth="1"/>
    <col min="8" max="8" width="9.140625" customWidth="1"/>
    <col min="9" max="9" width="13.42578125" bestFit="1" customWidth="1"/>
    <col min="14" max="14" width="15.140625" customWidth="1"/>
    <col min="17" max="17" width="14" customWidth="1"/>
    <col min="20" max="20" width="28.710937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1" t="s">
        <v>101</v>
      </c>
      <c r="I1" s="1" t="s">
        <v>102</v>
      </c>
      <c r="J1" s="1" t="s">
        <v>103</v>
      </c>
      <c r="L1" s="17" t="s">
        <v>107</v>
      </c>
      <c r="O1" s="17" t="s">
        <v>115</v>
      </c>
      <c r="R1" s="17" t="s">
        <v>121</v>
      </c>
      <c r="U1" s="17" t="s">
        <v>130</v>
      </c>
    </row>
    <row r="2" spans="1:25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H2" s="8" t="str" cm="1">
        <f t="array" ref="H2:H35">LEFT(A2:A35,2)</f>
        <v>28</v>
      </c>
      <c r="I2" s="8" t="str" cm="1">
        <f t="array" ref="I2:I35">RIGHT(A2:A35,2)</f>
        <v>US</v>
      </c>
      <c r="J2" s="8" t="str" cm="1">
        <f t="array" ref="J2:J35">MID(A2:A35,4,3)</f>
        <v>JAN</v>
      </c>
      <c r="L2" s="10" t="s">
        <v>108</v>
      </c>
      <c r="O2" s="10" t="s">
        <v>116</v>
      </c>
      <c r="R2" s="10" t="s">
        <v>132</v>
      </c>
      <c r="U2" s="10" t="s">
        <v>131</v>
      </c>
    </row>
    <row r="3" spans="1:25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 t="shared" ref="G3:G35" si="0">IF(D3&gt;=500,"High Price","Standard Price")</f>
        <v>Standard Price</v>
      </c>
      <c r="H3" s="9" t="str">
        <v>15</v>
      </c>
      <c r="I3" s="9" t="str">
        <v>US</v>
      </c>
      <c r="J3" s="9" t="str">
        <v>FEB</v>
      </c>
      <c r="L3" s="4" t="s">
        <v>109</v>
      </c>
      <c r="O3" s="4" t="s">
        <v>117</v>
      </c>
      <c r="R3" s="4" t="s">
        <v>124</v>
      </c>
      <c r="U3" s="4" t="s">
        <v>134</v>
      </c>
      <c r="X3" s="4"/>
    </row>
    <row r="4" spans="1:25" ht="15.75" customHeight="1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s="8" t="str">
        <v>03</v>
      </c>
      <c r="I4" s="8" t="str">
        <v>US</v>
      </c>
      <c r="J4" s="8" t="str">
        <v>MAR</v>
      </c>
      <c r="L4" s="5" t="s">
        <v>93</v>
      </c>
      <c r="M4" s="13">
        <f>SUM(D2:D35)</f>
        <v>10100</v>
      </c>
      <c r="O4" s="5" t="s">
        <v>96</v>
      </c>
      <c r="P4" s="13">
        <f>MIN(D2:D35)</f>
        <v>30</v>
      </c>
      <c r="R4" t="s">
        <v>122</v>
      </c>
      <c r="U4" s="7" t="s">
        <v>104</v>
      </c>
    </row>
    <row r="5" spans="1:25" ht="15.75" customHeight="1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0"/>
        <v>High Price</v>
      </c>
      <c r="H5" s="9" t="str">
        <v>11</v>
      </c>
      <c r="I5" s="9" t="str">
        <v>US</v>
      </c>
      <c r="J5" s="9" t="str">
        <v>APR</v>
      </c>
      <c r="L5" s="16" t="s">
        <v>110</v>
      </c>
      <c r="M5" s="15"/>
      <c r="O5" s="16" t="s">
        <v>118</v>
      </c>
      <c r="P5" s="15"/>
      <c r="R5" s="16" t="s">
        <v>123</v>
      </c>
      <c r="S5" s="15"/>
      <c r="T5" s="15"/>
      <c r="U5" s="16" t="s">
        <v>133</v>
      </c>
      <c r="V5" s="15"/>
    </row>
    <row r="6" spans="1:25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H6" s="8" t="str">
        <v>22</v>
      </c>
      <c r="I6" s="8" t="str">
        <v>US</v>
      </c>
      <c r="J6" s="8" t="str">
        <v>MAY</v>
      </c>
      <c r="U6" s="4"/>
      <c r="X6" s="4"/>
    </row>
    <row r="7" spans="1:25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0"/>
        <v>Standard Price</v>
      </c>
      <c r="H7" s="9" t="str">
        <v>07</v>
      </c>
      <c r="I7" s="9" t="str">
        <v>UK</v>
      </c>
      <c r="J7" s="9" t="str">
        <v>JUN</v>
      </c>
      <c r="L7" s="4" t="s">
        <v>111</v>
      </c>
      <c r="O7" s="4" t="s">
        <v>119</v>
      </c>
      <c r="R7" s="17" t="s">
        <v>125</v>
      </c>
      <c r="U7" s="4" t="s">
        <v>135</v>
      </c>
    </row>
    <row r="8" spans="1:25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s="8" t="str">
        <v>19</v>
      </c>
      <c r="I8" s="8" t="str">
        <v>UK</v>
      </c>
      <c r="J8" s="8" t="str">
        <v>JUL</v>
      </c>
      <c r="K8" s="6"/>
      <c r="L8" s="5" t="s">
        <v>94</v>
      </c>
      <c r="M8" s="12">
        <f>COUNTA(B2:B35)</f>
        <v>34</v>
      </c>
      <c r="N8" s="6"/>
      <c r="O8" s="5" t="s">
        <v>97</v>
      </c>
      <c r="P8" s="13">
        <f>MAX(D2:D35)</f>
        <v>1000</v>
      </c>
      <c r="Q8" s="6"/>
      <c r="R8" s="11" t="s">
        <v>126</v>
      </c>
      <c r="S8" s="6"/>
      <c r="T8" s="6"/>
      <c r="U8" s="7" t="s">
        <v>105</v>
      </c>
    </row>
    <row r="9" spans="1:25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0"/>
        <v>Standard Price</v>
      </c>
      <c r="H9" s="9" t="str">
        <v>23</v>
      </c>
      <c r="I9" s="9" t="str">
        <v>UK</v>
      </c>
      <c r="J9" s="9" t="str">
        <v>AUG</v>
      </c>
      <c r="L9" s="16" t="s">
        <v>112</v>
      </c>
      <c r="M9" s="14"/>
      <c r="O9" s="16" t="s">
        <v>120</v>
      </c>
      <c r="P9" s="15"/>
      <c r="R9" s="4" t="s">
        <v>139</v>
      </c>
      <c r="U9" s="16" t="s">
        <v>136</v>
      </c>
      <c r="V9" s="15"/>
    </row>
    <row r="10" spans="1:25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H10" s="8" t="str">
        <v>05</v>
      </c>
      <c r="I10" s="8" t="str">
        <v>UK</v>
      </c>
      <c r="J10" s="8" t="str">
        <v>SEP</v>
      </c>
      <c r="R10" s="7" t="s">
        <v>99</v>
      </c>
      <c r="S10" s="13">
        <f>SUMIF(F2:F35,"Electronics",D2:D35)</f>
        <v>8050</v>
      </c>
    </row>
    <row r="11" spans="1:25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0"/>
        <v>Standard Price</v>
      </c>
      <c r="H11" s="9" t="str">
        <v>14</v>
      </c>
      <c r="I11" s="9" t="str">
        <v>UK</v>
      </c>
      <c r="J11" s="9" t="str">
        <v>OCT</v>
      </c>
      <c r="L11" s="4" t="s">
        <v>113</v>
      </c>
      <c r="R11" s="16" t="s">
        <v>127</v>
      </c>
      <c r="S11" s="15"/>
      <c r="T11" s="15"/>
      <c r="U11" s="4" t="s">
        <v>137</v>
      </c>
    </row>
    <row r="12" spans="1:25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H12" s="8" t="str">
        <v>17</v>
      </c>
      <c r="I12" s="8" t="str">
        <v>IN</v>
      </c>
      <c r="J12" s="8" t="str">
        <v>JUN</v>
      </c>
      <c r="L12" s="5" t="s">
        <v>95</v>
      </c>
      <c r="M12" s="13">
        <f>AVERAGE(D2:D35)</f>
        <v>297.05882352941177</v>
      </c>
      <c r="U12" s="7" t="s">
        <v>106</v>
      </c>
      <c r="X12" s="4"/>
    </row>
    <row r="13" spans="1:25" ht="15.75" customHeight="1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0"/>
        <v>Standard Price</v>
      </c>
      <c r="H13" s="9" t="str">
        <v>25</v>
      </c>
      <c r="I13" s="9" t="str">
        <v>AU</v>
      </c>
      <c r="J13" s="9" t="str">
        <v>NOV</v>
      </c>
      <c r="L13" s="16" t="s">
        <v>114</v>
      </c>
      <c r="M13" s="15"/>
      <c r="R13" s="4" t="s">
        <v>128</v>
      </c>
      <c r="U13" s="16" t="s">
        <v>138</v>
      </c>
      <c r="V13" s="15"/>
      <c r="X13" s="7"/>
      <c r="Y13" s="7"/>
    </row>
    <row r="14" spans="1:25" ht="15.75" customHeight="1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s="8" t="str">
        <v>08</v>
      </c>
      <c r="I14" s="8" t="str">
        <v>DE</v>
      </c>
      <c r="J14" s="8" t="str">
        <v>DEC</v>
      </c>
      <c r="R14" s="7" t="s">
        <v>100</v>
      </c>
      <c r="S14" s="12">
        <f>COUNTIF(D2:D35,"&lt;100")</f>
        <v>11</v>
      </c>
    </row>
    <row r="15" spans="1:25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si="0"/>
        <v>Standard Price</v>
      </c>
      <c r="H15" s="9" t="str">
        <v>18</v>
      </c>
      <c r="I15" s="9" t="str">
        <v>CA</v>
      </c>
      <c r="J15" s="9" t="str">
        <v>FEB</v>
      </c>
      <c r="R15" s="16" t="s">
        <v>129</v>
      </c>
      <c r="S15" s="15"/>
      <c r="T15" s="15"/>
      <c r="U15" s="4"/>
      <c r="X15" s="4"/>
    </row>
    <row r="16" spans="1:25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s="8" t="str">
        <v>16</v>
      </c>
      <c r="I16" s="8" t="str">
        <v>ES</v>
      </c>
      <c r="J16" s="8" t="str">
        <v>APR</v>
      </c>
      <c r="X16" s="7"/>
      <c r="Y16" s="7"/>
    </row>
    <row r="17" spans="1:21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0"/>
        <v>Standard Price</v>
      </c>
      <c r="H17" s="9" t="str">
        <v>21</v>
      </c>
      <c r="I17" s="9" t="str">
        <v>CA</v>
      </c>
      <c r="J17" s="9" t="str">
        <v>AUG</v>
      </c>
    </row>
    <row r="18" spans="1:21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s="8" t="str">
        <v>20</v>
      </c>
      <c r="I18" s="8" t="str">
        <v>CN</v>
      </c>
      <c r="J18" s="8" t="str">
        <v>AUG</v>
      </c>
      <c r="U18" s="4"/>
    </row>
    <row r="19" spans="1:21" ht="15.75" customHeight="1" x14ac:dyDescent="0.2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0"/>
        <v>High Price</v>
      </c>
      <c r="H19" s="9" t="str">
        <v>27</v>
      </c>
      <c r="I19" s="9" t="str">
        <v>IT</v>
      </c>
      <c r="J19" s="9" t="str">
        <v>JAN</v>
      </c>
    </row>
    <row r="20" spans="1:21" ht="15.75" customHeight="1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Standard Price</v>
      </c>
      <c r="H20" s="8" t="str">
        <v>01</v>
      </c>
      <c r="I20" s="8" t="str">
        <v>UK</v>
      </c>
      <c r="J20" s="8" t="str">
        <v>MAR</v>
      </c>
    </row>
    <row r="21" spans="1:21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0"/>
        <v>Standard Price</v>
      </c>
      <c r="H21" s="9" t="str">
        <v>14</v>
      </c>
      <c r="I21" s="9" t="str">
        <v>US</v>
      </c>
      <c r="J21" s="9" t="str">
        <v>AUG</v>
      </c>
    </row>
    <row r="22" spans="1:21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High Price</v>
      </c>
      <c r="H22" s="8" t="str">
        <v>14</v>
      </c>
      <c r="I22" s="8" t="str">
        <v>RU</v>
      </c>
      <c r="J22" s="8" t="str">
        <v>MAY</v>
      </c>
    </row>
    <row r="23" spans="1:21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0"/>
        <v>Standard Price</v>
      </c>
      <c r="H23" s="9" t="str">
        <v>09</v>
      </c>
      <c r="I23" s="9" t="str">
        <v>CA</v>
      </c>
      <c r="J23" s="9" t="str">
        <v>JAN</v>
      </c>
    </row>
    <row r="24" spans="1:21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s="8" t="str">
        <v>19</v>
      </c>
      <c r="I24" s="8" t="str">
        <v>BR</v>
      </c>
      <c r="J24" s="8" t="str">
        <v>JUL</v>
      </c>
    </row>
    <row r="25" spans="1:21" ht="15.75" customHeight="1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 t="shared" si="0"/>
        <v>Standard Price</v>
      </c>
      <c r="H25" s="9" t="str">
        <v>21</v>
      </c>
      <c r="I25" s="9" t="str">
        <v>CA</v>
      </c>
      <c r="J25" s="9" t="str">
        <v>AUG</v>
      </c>
    </row>
    <row r="26" spans="1:21" ht="15.75" customHeight="1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High Price</v>
      </c>
      <c r="H26" s="8" t="str">
        <v>29</v>
      </c>
      <c r="I26" s="8" t="str">
        <v>CA</v>
      </c>
      <c r="J26" s="8" t="str">
        <v>SEP</v>
      </c>
    </row>
    <row r="27" spans="1:21" ht="15.75" customHeight="1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0"/>
        <v>Standard Price</v>
      </c>
      <c r="H27" s="9" t="str">
        <v>03</v>
      </c>
      <c r="I27" s="9" t="str">
        <v>CA</v>
      </c>
      <c r="J27" s="9" t="str">
        <v>JUN</v>
      </c>
    </row>
    <row r="28" spans="1:21" ht="15.75" customHeight="1" x14ac:dyDescent="0.2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s="8" t="str">
        <v>11</v>
      </c>
      <c r="I28" s="8" t="str">
        <v>CA</v>
      </c>
      <c r="J28" s="8" t="str">
        <v>JUL</v>
      </c>
    </row>
    <row r="29" spans="1:21" ht="15.75" customHeight="1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 t="shared" si="0"/>
        <v>Standard Price</v>
      </c>
      <c r="H29" s="9" t="str">
        <v>16</v>
      </c>
      <c r="I29" s="9" t="str">
        <v>ES</v>
      </c>
      <c r="J29" s="9" t="str">
        <v>APR</v>
      </c>
    </row>
    <row r="30" spans="1:21" ht="15.75" customHeight="1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s="8" t="str">
        <v>07</v>
      </c>
      <c r="I30" s="8" t="str">
        <v>CA</v>
      </c>
      <c r="J30" s="8" t="str">
        <v>MAR</v>
      </c>
    </row>
    <row r="31" spans="1:21" ht="15.75" customHeight="1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0"/>
        <v>Standard Price</v>
      </c>
      <c r="H31" s="9" t="str">
        <v>13</v>
      </c>
      <c r="I31" s="9" t="str">
        <v>CA</v>
      </c>
      <c r="J31" s="9" t="str">
        <v>APR</v>
      </c>
    </row>
    <row r="32" spans="1:21" ht="15.75" customHeight="1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s="8" t="str">
        <v>24</v>
      </c>
      <c r="I32" s="8" t="str">
        <v>CA</v>
      </c>
      <c r="J32" s="8" t="str">
        <v>MAY</v>
      </c>
    </row>
    <row r="33" spans="1:10" ht="15.75" customHeight="1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0"/>
        <v>Standard Price</v>
      </c>
      <c r="H33" s="9" t="str">
        <v>02</v>
      </c>
      <c r="I33" s="9" t="str">
        <v>CA</v>
      </c>
      <c r="J33" s="9" t="str">
        <v>DEC</v>
      </c>
    </row>
    <row r="34" spans="1:10" ht="15.75" customHeight="1" x14ac:dyDescent="0.2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High Price</v>
      </c>
      <c r="H34" s="8" t="str">
        <v>17</v>
      </c>
      <c r="I34" s="8" t="str">
        <v>IN</v>
      </c>
      <c r="J34" s="8" t="str">
        <v>JUN</v>
      </c>
    </row>
    <row r="35" spans="1:10" ht="15.75" customHeight="1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 t="shared" si="0"/>
        <v>Standard Price</v>
      </c>
      <c r="H35" s="9" t="str">
        <v>09</v>
      </c>
      <c r="I35" s="9" t="str">
        <v>FR</v>
      </c>
      <c r="J35" s="9" t="str"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DREAMS</cp:lastModifiedBy>
  <dcterms:modified xsi:type="dcterms:W3CDTF">2026-05-24T03:42:19Z</dcterms:modified>
</cp:coreProperties>
</file>